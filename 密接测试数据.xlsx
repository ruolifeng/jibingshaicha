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密接测试数据" sheetId="1" r:id="rId1"/>
  </sheets>
  <externalReferences>
    <externalReference r:id="rId2"/>
  </externalReferences>
  <definedNames>
    <definedName name="结核抗原皮肤试验_EC">[1]选项源!$B$26:$B$28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<sst xmlns="http://schemas.openxmlformats.org/spreadsheetml/2006/main" count="273" uniqueCount="175">
  <si>
    <t>市/州</t>
  </si>
  <si>
    <t>区/县</t>
  </si>
  <si>
    <t>患者姓名</t>
  </si>
  <si>
    <t>病案号</t>
  </si>
  <si>
    <t>病原学结果</t>
  </si>
  <si>
    <t>患者电话</t>
  </si>
  <si>
    <t>患者身份证号</t>
  </si>
  <si>
    <t>填表日期（填写yyyy/mm/dd格式）</t>
  </si>
  <si>
    <t>密切接触者登记日期（填写yyyy/mm/dd格式）</t>
  </si>
  <si>
    <t>报表填报季度（自动生成）</t>
  </si>
  <si>
    <t>计算登记日期到当前日期的时间间隔，提示随访期限（自动生成）</t>
  </si>
  <si>
    <t>接触者姓名</t>
  </si>
  <si>
    <t>接触者身份证号</t>
  </si>
  <si>
    <t>年龄（岁）</t>
  </si>
  <si>
    <t>年龄组（自动判断）</t>
  </si>
  <si>
    <t>接触者电话</t>
  </si>
  <si>
    <t>接触类型（下拉选择）</t>
  </si>
  <si>
    <t>接触场所（下拉选择）</t>
  </si>
  <si>
    <t>首次筛查日期</t>
  </si>
  <si>
    <t>结核症状1（下拉选择）</t>
  </si>
  <si>
    <t>结核症状2（自行补充）</t>
  </si>
  <si>
    <t>感染检测日期</t>
  </si>
  <si>
    <t>感染检测方法（下拉选择）</t>
  </si>
  <si>
    <t>结果判定（下拉选择）</t>
  </si>
  <si>
    <t>影像检查日期（填写yyyy/mm/dd格式）</t>
  </si>
  <si>
    <t>影像方法（下拉选择）</t>
  </si>
  <si>
    <t>影像结果（下拉选择）</t>
  </si>
  <si>
    <t>痰检留标日期（填写yyyy/mm/dd格式）</t>
  </si>
  <si>
    <t>痰检方法（下拉选择）</t>
  </si>
  <si>
    <t>痰检结果(下拉选择)</t>
  </si>
  <si>
    <t>最终筛查结果(下拉选择)</t>
  </si>
  <si>
    <t>有无禁忌症(下拉选择)</t>
  </si>
  <si>
    <t>不接受预防性治疗的原因(下拉选择)</t>
  </si>
  <si>
    <t>备注：其他原因和具体的禁忌症（自行填写）</t>
  </si>
  <si>
    <t>是否开展预防治疗(下拉选择)</t>
  </si>
  <si>
    <t>预防性治疗方案(下拉选择)</t>
  </si>
  <si>
    <t>其他方案，请备注</t>
  </si>
  <si>
    <t>是否完成治疗(下拉选择)</t>
  </si>
  <si>
    <t>若未完成预防性治疗请选择原因(下拉选择)</t>
  </si>
  <si>
    <t>6月随访日期（根据密接登记日期自动生成）</t>
  </si>
  <si>
    <t>6月随访-症状筛查日期</t>
  </si>
  <si>
    <t>6月随访-症状1（下拉选择）</t>
  </si>
  <si>
    <t>6月随访-症状2（自行填写）</t>
  </si>
  <si>
    <t>6月随访-影像检查日期</t>
  </si>
  <si>
    <t>6月随访-影像检查方法（下拉选择）</t>
  </si>
  <si>
    <t>6月随访-影像结果（下拉选择）</t>
  </si>
  <si>
    <t>6月随访-留标本时间</t>
  </si>
  <si>
    <t>6月随访-病原学检查方法（下拉选择）</t>
  </si>
  <si>
    <t>6月随访-病原学检查结果（下拉选择）</t>
  </si>
  <si>
    <t>6月随访-筛查结果（下拉选择）</t>
  </si>
  <si>
    <t>12月随访日期（根据密接登记日期自动生成）</t>
  </si>
  <si>
    <t>12月随访-症状筛查日期</t>
  </si>
  <si>
    <t>12月随访-症状（下拉选择）</t>
  </si>
  <si>
    <t>12月随访-症状2（自行填写）</t>
  </si>
  <si>
    <t>12月随访-影像检查日期</t>
  </si>
  <si>
    <t>12月随访-影像检查方法（下拉选择）</t>
  </si>
  <si>
    <t>12月随访-影像结果（下拉选择）</t>
  </si>
  <si>
    <t>12月随访-留标本时间</t>
  </si>
  <si>
    <t>12月随访-病原学检查方法（下拉选择）</t>
  </si>
  <si>
    <t>12月随访-病原学检查结果（下拉选择）</t>
  </si>
  <si>
    <t>12月随访-筛查结果（下拉选择）</t>
  </si>
  <si>
    <t>24月随访日期（根据密接登记日期自动生成）</t>
  </si>
  <si>
    <t>24月随访-症状筛查日期</t>
  </si>
  <si>
    <t>24月随访-症状（下拉选择）</t>
  </si>
  <si>
    <t>24月随访-症状2（自行填写</t>
  </si>
  <si>
    <t>24月随访-影像检查日期</t>
  </si>
  <si>
    <t>24月随访-影像检查方法（下拉选择）</t>
  </si>
  <si>
    <t>24月随访-影像结果（下拉选择）</t>
  </si>
  <si>
    <t>24月随访-留标本时间</t>
  </si>
  <si>
    <t>24月随访-病原学检查方法（下拉选择）</t>
  </si>
  <si>
    <t>24月随访-病原学检查结果（下拉选择）</t>
  </si>
  <si>
    <t>24月随访-筛查结果（下拉选择）</t>
  </si>
  <si>
    <t>备注</t>
  </si>
  <si>
    <t>宜宾市</t>
  </si>
  <si>
    <t>金牛区</t>
  </si>
  <si>
    <t>张伟</t>
  </si>
  <si>
    <t>510700050-2023-22804</t>
  </si>
  <si>
    <t>病原学阳性</t>
  </si>
  <si>
    <t>510703198310080688</t>
  </si>
  <si>
    <t>孙燕</t>
  </si>
  <si>
    <t>510822201103170014</t>
  </si>
  <si>
    <t>家庭外</t>
  </si>
  <si>
    <t>工矿企业</t>
  </si>
  <si>
    <t>低热</t>
  </si>
  <si>
    <t>盗汗，胸痛</t>
  </si>
  <si>
    <t>结核抗原皮肤试验_EC</t>
  </si>
  <si>
    <t>无法判断</t>
  </si>
  <si>
    <t>胸部CT</t>
  </si>
  <si>
    <t>其他(含未查,需注明)</t>
  </si>
  <si>
    <t>其他(需注明)</t>
  </si>
  <si>
    <t>无法判读(含未查,需注明)</t>
  </si>
  <si>
    <t>未做</t>
  </si>
  <si>
    <t>无</t>
  </si>
  <si>
    <t>内江市</t>
  </si>
  <si>
    <t>武侯区</t>
  </si>
  <si>
    <t>杨帆</t>
  </si>
  <si>
    <t>510900050-2021-52482</t>
  </si>
  <si>
    <t>51081119690515833X</t>
  </si>
  <si>
    <t>赵勇</t>
  </si>
  <si>
    <t>510184200709120894</t>
  </si>
  <si>
    <t>家庭内</t>
  </si>
  <si>
    <t>精神病院</t>
  </si>
  <si>
    <t>无症状</t>
  </si>
  <si>
    <t>胸闷，气短</t>
  </si>
  <si>
    <t>Y干扰素释放试验_IGRA</t>
  </si>
  <si>
    <t>阳性</t>
  </si>
  <si>
    <t>未见异常</t>
  </si>
  <si>
    <t>分子生物学</t>
  </si>
  <si>
    <t>阴性</t>
  </si>
  <si>
    <t>潜伏感染者</t>
  </si>
  <si>
    <t>有(需明确)</t>
  </si>
  <si>
    <t>成都市</t>
  </si>
  <si>
    <t>郫都区</t>
  </si>
  <si>
    <t>吴婷</t>
  </si>
  <si>
    <t>510900050-2024-87215</t>
  </si>
  <si>
    <t>无结果</t>
  </si>
  <si>
    <t>510104199706249978</t>
  </si>
  <si>
    <t>刘明</t>
  </si>
  <si>
    <t>510503195210219182</t>
  </si>
  <si>
    <t>福利机构</t>
  </si>
  <si>
    <t>咳嗽咳痰&gt;=2周</t>
  </si>
  <si>
    <t>体重减轻</t>
  </si>
  <si>
    <t>结核菌素皮肤试验_PPD</t>
  </si>
  <si>
    <t>未查</t>
  </si>
  <si>
    <t>异常(疑似活动性结核病变)</t>
  </si>
  <si>
    <t>培养</t>
  </si>
  <si>
    <t>活动性肺结核</t>
  </si>
  <si>
    <t>德阳市</t>
  </si>
  <si>
    <t>赵磊</t>
  </si>
  <si>
    <t>510104050-2025-92381</t>
  </si>
  <si>
    <t>病原学阴性</t>
  </si>
  <si>
    <t>51052519910522930X</t>
  </si>
  <si>
    <t>郑浩</t>
  </si>
  <si>
    <t>510311196603068788</t>
  </si>
  <si>
    <t>学校</t>
  </si>
  <si>
    <t>胸闷</t>
  </si>
  <si>
    <t/>
  </si>
  <si>
    <t>异常(非活动性结核病变)</t>
  </si>
  <si>
    <t>绵阳市</t>
  </si>
  <si>
    <t>锦江区</t>
  </si>
  <si>
    <t>王芳</t>
  </si>
  <si>
    <t>510104050-2026-88940</t>
  </si>
  <si>
    <t>510725196706111216</t>
  </si>
  <si>
    <t>510825198208204385</t>
  </si>
  <si>
    <t>食欲减退</t>
  </si>
  <si>
    <t>低热，乏力</t>
  </si>
  <si>
    <t>双流区</t>
  </si>
  <si>
    <t>510104050-2022-70154</t>
  </si>
  <si>
    <t>510923198805223261</t>
  </si>
  <si>
    <t>510923197010147336</t>
  </si>
  <si>
    <t>住所</t>
  </si>
  <si>
    <t>咯血或血痰</t>
  </si>
  <si>
    <t>泸州市</t>
  </si>
  <si>
    <t>510700050-2022-24752</t>
  </si>
  <si>
    <t>利福平耐药</t>
  </si>
  <si>
    <t>510107197303187151</t>
  </si>
  <si>
    <t>李梅</t>
  </si>
  <si>
    <t>510181198906233768</t>
  </si>
  <si>
    <t>娱乐场所</t>
  </si>
  <si>
    <t>咳嗽咳痰&lt;2周</t>
  </si>
  <si>
    <t>遂宁市</t>
  </si>
  <si>
    <t>510104050-2024-24276</t>
  </si>
  <si>
    <t>510821197508062075</t>
  </si>
  <si>
    <t>张强</t>
  </si>
  <si>
    <t>51041120020501675X</t>
  </si>
  <si>
    <t>周涛</t>
  </si>
  <si>
    <t>510302050-2021-19619</t>
  </si>
  <si>
    <t>510502199705278151</t>
  </si>
  <si>
    <t>陈华</t>
  </si>
  <si>
    <t>510106200404129055</t>
  </si>
  <si>
    <t>青羊区</t>
  </si>
  <si>
    <t>510700050-2022-67068</t>
  </si>
  <si>
    <t>510525198711065814</t>
  </si>
  <si>
    <t>周军</t>
  </si>
  <si>
    <t>510402199705182218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</si>
</sst>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10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11" borderId="5">
      <alignment vertical="center"/>
    </xf>
    <xf numFmtId="0" fontId="11" fillId="12" borderId="6">
      <alignment vertical="center"/>
    </xf>
    <xf numFmtId="0" fontId="12" fillId="12" borderId="5">
      <alignment vertical="center"/>
    </xf>
    <xf numFmtId="0" fontId="13" fillId="13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20" fillId="38" borderId="0">
      <alignment vertical="center"/>
    </xf>
    <xf numFmtId="0" fontId="20" fillId="39" borderId="0">
      <alignment vertical="center"/>
    </xf>
    <xf numFmtId="0" fontId="19" fillId="40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76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177" fontId="0" fillId="4" borderId="1" xfId="0" applyNumberFormat="1" applyFill="1" applyBorder="1" applyAlignment="1">
      <alignment vertical="center" wrapText="1"/>
    </xf>
    <xf numFmtId="176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954;&#32467;&#26680;&#23494;&#20999;&#25509;&#35302;&#32773;&#31579;&#26597;&#32479;&#35745;&#20010;&#26696;&#34920;-&#26368;&#32456;&#29256;04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筛查登记本"/>
      <sheetName val="填写说明"/>
      <sheetName val="选项源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"/>
  <sheetViews>
    <sheetView tabSelected="1" topLeftCell="R1" workbookViewId="0">
      <selection activeCell="AE1" sqref="AE1"/>
    </sheetView>
  </sheetViews>
  <sheetFormatPr defaultColWidth="8.89166666666667" defaultRowHeight="13.5"/>
  <cols>
    <col min="1" max="1" width="27.3333333333333" style="1" customWidth="1"/>
    <col min="2" max="2" width="23" style="1" customWidth="1"/>
    <col min="3" max="3" width="14.6666666666667" style="1" customWidth="1"/>
    <col min="4" max="4" width="29.225" style="1" customWidth="1"/>
    <col min="5" max="5" width="23.775" style="1" customWidth="1"/>
    <col min="6" max="7" width="26.225" style="1" customWidth="1"/>
    <col min="8" max="8" width="18.225" style="1" customWidth="1"/>
    <col min="9" max="9" width="24.225" style="1" customWidth="1"/>
    <col min="10" max="10" width="23.3333333333333" style="1" customWidth="1"/>
    <col min="11" max="11" width="25.4416666666667" style="1" customWidth="1"/>
    <col min="13" max="13" width="20.8916666666667" style="1" customWidth="1"/>
    <col min="14" max="14" width="14.6" style="1" customWidth="1"/>
    <col min="16" max="16" width="12.8916666666667"/>
    <col min="18" max="18" width="14.1083333333333" style="1" customWidth="1"/>
    <col min="19" max="19" width="10.775" style="1" customWidth="1"/>
    <col min="20" max="20" width="20.8916666666667" style="1" customWidth="1"/>
    <col min="21" max="21" width="11.8916666666667" style="1" customWidth="1"/>
    <col min="22" max="22" width="10.775" style="1" customWidth="1"/>
    <col min="23" max="23" width="22" style="1" customWidth="1"/>
    <col min="24" max="24" width="16.1916666666667" style="1" customWidth="1"/>
    <col min="25" max="25" width="10.775" style="1" customWidth="1"/>
    <col min="26" max="26" width="14.1083333333333" style="1" customWidth="1"/>
    <col min="27" max="27" width="27.6666666666667" style="1" customWidth="1"/>
    <col min="28" max="28" width="10.775" style="1" customWidth="1"/>
    <col min="29" max="29" width="18.6666666666667" style="1" customWidth="1"/>
    <col min="30" max="30" width="26.5583333333333" style="1" customWidth="1"/>
    <col min="31" max="31" width="14.1083333333333" style="1" customWidth="1"/>
    <col min="32" max="32" width="11.8916666666667" style="1" customWidth="1"/>
    <col min="33" max="33" width="16.4416666666667" style="1" customWidth="1"/>
    <col min="36" max="36" width="29.8916666666667" style="1" customWidth="1"/>
    <col min="37" max="37" width="14.225" style="1" customWidth="1"/>
    <col min="39" max="39" width="14.1083333333333" style="1" customWidth="1"/>
    <col min="40" max="41" width="11.8916666666667" style="1" customWidth="1"/>
    <col min="42" max="42" width="20.8916666666667" style="1" customWidth="1"/>
    <col min="43" max="43" width="14" style="1" customWidth="1"/>
    <col min="44" max="44" width="11.8916666666667" style="1" customWidth="1"/>
    <col min="45" max="45" width="14.1083333333333" style="1" customWidth="1"/>
    <col min="46" max="46" width="27.6666666666667" style="1" customWidth="1"/>
    <col min="47" max="47" width="11.8916666666667" style="1" customWidth="1"/>
    <col min="48" max="48" width="20" style="1" customWidth="1"/>
    <col min="49" max="49" width="23.4416666666667" style="1" customWidth="1"/>
    <col min="50" max="50" width="21.8916666666667" style="1" customWidth="1"/>
    <col min="51" max="52" width="11.8916666666667" style="1" customWidth="1"/>
    <col min="53" max="53" width="20.8916666666667" style="1" customWidth="1"/>
    <col min="54" max="55" width="11.8916666666667" style="1" customWidth="1"/>
    <col min="56" max="56" width="14.1083333333333" style="1" customWidth="1"/>
    <col min="57" max="57" width="27.6666666666667" style="1" customWidth="1"/>
    <col min="58" max="58" width="11.8916666666667" style="1" customWidth="1"/>
    <col min="59" max="59" width="18.6666666666667" style="1" customWidth="1"/>
    <col min="60" max="60" width="26.5583333333333" style="1" customWidth="1"/>
    <col min="61" max="61" width="14.1083333333333" style="1" customWidth="1"/>
    <col min="62" max="62" width="20.6333333333333" style="1" customWidth="1"/>
    <col min="63" max="63" width="11.8916666666667" style="1" customWidth="1"/>
    <col min="64" max="64" width="13.9666666666667" style="1" customWidth="1"/>
    <col min="65" max="65" width="15.775" style="1" customWidth="1"/>
    <col min="66" max="66" width="11.8916666666667" style="1" customWidth="1"/>
    <col min="67" max="67" width="14.1083333333333" style="1" customWidth="1"/>
    <col min="68" max="68" width="27.6666666666667" style="1" customWidth="1"/>
    <col min="69" max="69" width="11.8916666666667" style="1" customWidth="1"/>
    <col min="70" max="70" width="18.6666666666667" style="1" customWidth="1"/>
    <col min="71" max="71" width="26.5583333333333" style="1" customWidth="1"/>
    <col min="72" max="72" width="14.1083333333333" style="1" customWidth="1"/>
  </cols>
  <sheetData>
    <row r="1" ht="116" customHeight="1" spans="1:7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8" t="s">
        <v>19</v>
      </c>
      <c r="U1" s="8" t="s">
        <v>20</v>
      </c>
      <c r="V1" s="7" t="s">
        <v>21</v>
      </c>
      <c r="W1" s="8" t="s">
        <v>22</v>
      </c>
      <c r="X1" s="8" t="s">
        <v>23</v>
      </c>
      <c r="Y1" s="7" t="s">
        <v>24</v>
      </c>
      <c r="Z1" s="8" t="s">
        <v>25</v>
      </c>
      <c r="AA1" s="8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12" t="s">
        <v>72</v>
      </c>
    </row>
    <row r="2" spans="1:73">
      <c r="A2" s="13" t="s">
        <v>73</v>
      </c>
      <c r="B2" s="13" t="s">
        <v>74</v>
      </c>
      <c r="C2" s="14" t="s">
        <v>75</v>
      </c>
      <c r="D2" s="14" t="s">
        <v>76</v>
      </c>
      <c r="E2" s="14" t="s">
        <v>77</v>
      </c>
      <c r="F2" s="14">
        <v>13227439361</v>
      </c>
      <c r="G2" s="14" t="s">
        <v>78</v>
      </c>
      <c r="H2" s="15">
        <v>45840</v>
      </c>
      <c r="I2" s="15">
        <v>45844</v>
      </c>
      <c r="J2" s="16" t="str">
        <f t="shared" ref="J2:J11" si="0">IF(I2&lt;&gt;"",YEAR(I2)&amp;"年"&amp;"Q"&amp;INT((MONTH(I2)-1)/3)+1,"登记日期为空")</f>
        <v>2025年Q3</v>
      </c>
      <c r="K2" s="16" t="str">
        <f ca="1">IF(I2="","密接登记日期为空",_xlfn.LET(_xlpm.months,DATEDIF(I2,TODAY(),"m"),IF(_xlpm.months&lt;6,"未到随访时间",IF(_xlpm.months&lt;12,"应完成6月随访",IF(_xlpm.months&lt;24,"应完成12月随访","应完成24月随访")))))</f>
        <v>应完成6月随访</v>
      </c>
      <c r="L2" s="17" t="s">
        <v>79</v>
      </c>
      <c r="M2" s="18" t="s">
        <v>80</v>
      </c>
      <c r="N2" s="19">
        <v>15</v>
      </c>
      <c r="O2" s="16" t="str">
        <f t="shared" ref="O2:O11" si="1">IF(N2="","无有效年龄",IF(N2&lt;15,"＜15岁","≥15岁"))</f>
        <v>≥15岁</v>
      </c>
      <c r="P2" s="17">
        <v>15503225034</v>
      </c>
      <c r="Q2" s="17" t="s">
        <v>81</v>
      </c>
      <c r="R2" s="17" t="s">
        <v>82</v>
      </c>
      <c r="S2" s="20">
        <v>45845</v>
      </c>
      <c r="T2" s="21" t="s">
        <v>83</v>
      </c>
      <c r="U2" s="21" t="s">
        <v>84</v>
      </c>
      <c r="V2" s="20">
        <v>45863</v>
      </c>
      <c r="W2" s="21" t="s">
        <v>85</v>
      </c>
      <c r="X2" s="21" t="s">
        <v>86</v>
      </c>
      <c r="Y2" s="20">
        <v>45868</v>
      </c>
      <c r="Z2" s="21" t="s">
        <v>87</v>
      </c>
      <c r="AA2" s="21" t="s">
        <v>88</v>
      </c>
      <c r="AB2" s="20">
        <v>45870</v>
      </c>
      <c r="AC2" s="21" t="s">
        <v>89</v>
      </c>
      <c r="AD2" s="21" t="s">
        <v>90</v>
      </c>
      <c r="AE2" s="21" t="s">
        <v>91</v>
      </c>
      <c r="AF2" s="22" t="s">
        <v>92</v>
      </c>
    </row>
    <row r="3" spans="1:73">
      <c r="A3" s="13" t="s">
        <v>93</v>
      </c>
      <c r="B3" s="13" t="s">
        <v>94</v>
      </c>
      <c r="C3" s="14" t="s">
        <v>95</v>
      </c>
      <c r="D3" s="14" t="s">
        <v>96</v>
      </c>
      <c r="E3" s="14" t="s">
        <v>77</v>
      </c>
      <c r="F3" s="14">
        <v>19579596007</v>
      </c>
      <c r="G3" s="14" t="s">
        <v>97</v>
      </c>
      <c r="H3" s="15">
        <v>45861</v>
      </c>
      <c r="I3" s="15">
        <v>45861</v>
      </c>
      <c r="J3" s="16" t="str">
        <f t="shared" si="0"/>
        <v>2025年Q3</v>
      </c>
      <c r="K3" s="16" t="str">
        <f ca="1">IF(I3="","密接登记日期为空",_xlfn.LET(_xlpm.months,DATEDIF(I3,TODAY(),"m"),IF(_xlpm.months&lt;6,"未到随访时间",IF(_xlpm.months&lt;12,"应完成6月随访",IF(_xlpm.months&lt;24,"应完成12月随访","应完成24月随访")))))</f>
        <v>应完成6月随访</v>
      </c>
      <c r="L3" s="17" t="s">
        <v>98</v>
      </c>
      <c r="M3" s="18" t="s">
        <v>99</v>
      </c>
      <c r="N3" s="19">
        <v>19</v>
      </c>
      <c r="O3" s="16" t="str">
        <f t="shared" si="1"/>
        <v>≥15岁</v>
      </c>
      <c r="P3" s="17">
        <v>19958030429</v>
      </c>
      <c r="Q3" s="17" t="s">
        <v>100</v>
      </c>
      <c r="R3" s="17" t="s">
        <v>101</v>
      </c>
      <c r="S3" s="20">
        <v>45874</v>
      </c>
      <c r="T3" s="21" t="s">
        <v>102</v>
      </c>
      <c r="U3" s="21" t="s">
        <v>103</v>
      </c>
      <c r="V3" s="20">
        <v>45898</v>
      </c>
      <c r="W3" s="21" t="s">
        <v>104</v>
      </c>
      <c r="X3" s="21" t="s">
        <v>105</v>
      </c>
      <c r="Y3" s="20">
        <v>45903</v>
      </c>
      <c r="Z3" s="21" t="s">
        <v>89</v>
      </c>
      <c r="AA3" s="21" t="s">
        <v>106</v>
      </c>
      <c r="AB3" s="20">
        <v>45910</v>
      </c>
      <c r="AC3" s="21" t="s">
        <v>107</v>
      </c>
      <c r="AD3" s="21" t="s">
        <v>108</v>
      </c>
      <c r="AE3" s="21" t="s">
        <v>109</v>
      </c>
      <c r="AF3" s="22" t="s">
        <v>110</v>
      </c>
    </row>
    <row r="4" spans="1:73">
      <c r="A4" s="13" t="s">
        <v>111</v>
      </c>
      <c r="B4" s="13" t="s">
        <v>112</v>
      </c>
      <c r="C4" s="14" t="s">
        <v>113</v>
      </c>
      <c r="D4" s="14" t="s">
        <v>114</v>
      </c>
      <c r="E4" s="14" t="s">
        <v>115</v>
      </c>
      <c r="F4" s="14">
        <v>19694972545</v>
      </c>
      <c r="G4" s="14" t="s">
        <v>116</v>
      </c>
      <c r="H4" s="15">
        <v>45865</v>
      </c>
      <c r="I4" s="15">
        <v>45867</v>
      </c>
      <c r="J4" s="16" t="str">
        <f t="shared" si="0"/>
        <v>2025年Q3</v>
      </c>
      <c r="K4" s="16" t="str">
        <f ca="1">IF(I4="","密接登记日期为空",_xlfn.LET(_xlpm.months,DATEDIF(I4,TODAY(),"m"),IF(_xlpm.months&lt;6,"未到随访时间",IF(_xlpm.months&lt;12,"应完成6月随访",IF(_xlpm.months&lt;24,"应完成12月随访","应完成24月随访")))))</f>
        <v>应完成6月随访</v>
      </c>
      <c r="L4" s="17" t="s">
        <v>117</v>
      </c>
      <c r="M4" s="18" t="s">
        <v>118</v>
      </c>
      <c r="N4" s="19">
        <v>74</v>
      </c>
      <c r="O4" s="16" t="str">
        <f t="shared" si="1"/>
        <v>≥15岁</v>
      </c>
      <c r="P4" s="17">
        <v>19265117816</v>
      </c>
      <c r="Q4" s="17" t="s">
        <v>100</v>
      </c>
      <c r="R4" s="17" t="s">
        <v>119</v>
      </c>
      <c r="S4" s="20">
        <v>45876</v>
      </c>
      <c r="T4" s="21" t="s">
        <v>120</v>
      </c>
      <c r="U4" s="21" t="s">
        <v>121</v>
      </c>
      <c r="V4" s="20">
        <v>45884</v>
      </c>
      <c r="W4" s="21" t="s">
        <v>122</v>
      </c>
      <c r="X4" s="21" t="s">
        <v>86</v>
      </c>
      <c r="Y4" s="20">
        <v>45887</v>
      </c>
      <c r="Z4" s="21" t="s">
        <v>123</v>
      </c>
      <c r="AA4" s="21" t="s">
        <v>124</v>
      </c>
      <c r="AB4" s="20">
        <v>45897</v>
      </c>
      <c r="AC4" s="21" t="s">
        <v>125</v>
      </c>
      <c r="AD4" s="21" t="s">
        <v>105</v>
      </c>
      <c r="AE4" s="21" t="s">
        <v>126</v>
      </c>
      <c r="AF4" s="22" t="s">
        <v>92</v>
      </c>
    </row>
    <row r="5" spans="1:73">
      <c r="A5" s="13" t="s">
        <v>127</v>
      </c>
      <c r="B5" s="13" t="s">
        <v>74</v>
      </c>
      <c r="C5" s="14" t="s">
        <v>128</v>
      </c>
      <c r="D5" s="14" t="s">
        <v>129</v>
      </c>
      <c r="E5" s="14" t="s">
        <v>130</v>
      </c>
      <c r="F5" s="14">
        <v>17896051735</v>
      </c>
      <c r="G5" s="14" t="s">
        <v>131</v>
      </c>
      <c r="H5" s="15">
        <v>45767</v>
      </c>
      <c r="I5" s="15">
        <v>45770</v>
      </c>
      <c r="J5" s="16" t="str">
        <f t="shared" si="0"/>
        <v>2025年Q2</v>
      </c>
      <c r="K5" s="16" t="str">
        <f ca="1">IF(I5="","密接登记日期为空",_xlfn.LET(_xlpm.months,DATEDIF(I5,TODAY(),"m"),IF(_xlpm.months&lt;6,"未到随访时间",IF(_xlpm.months&lt;12,"应完成6月随访",IF(_xlpm.months&lt;24,"应完成12月随访","应完成24月随访")))))</f>
        <v>应完成12月随访</v>
      </c>
      <c r="L5" s="17" t="s">
        <v>132</v>
      </c>
      <c r="M5" s="18" t="s">
        <v>133</v>
      </c>
      <c r="N5" s="19">
        <v>60</v>
      </c>
      <c r="O5" s="16" t="str">
        <f t="shared" si="1"/>
        <v>≥15岁</v>
      </c>
      <c r="P5" s="17">
        <v>17261673790</v>
      </c>
      <c r="Q5" s="17" t="s">
        <v>100</v>
      </c>
      <c r="R5" s="17" t="s">
        <v>134</v>
      </c>
      <c r="S5" s="20">
        <v>45783</v>
      </c>
      <c r="T5" s="21" t="s">
        <v>135</v>
      </c>
      <c r="U5" s="21" t="s">
        <v>136</v>
      </c>
      <c r="V5" s="20">
        <v>45789</v>
      </c>
      <c r="W5" s="21" t="s">
        <v>104</v>
      </c>
      <c r="X5" s="21" t="s">
        <v>86</v>
      </c>
      <c r="Y5" s="20">
        <v>45790</v>
      </c>
      <c r="Z5" s="21" t="s">
        <v>123</v>
      </c>
      <c r="AA5" s="21" t="s">
        <v>137</v>
      </c>
      <c r="AB5" s="20">
        <v>45799</v>
      </c>
      <c r="AC5" s="21" t="s">
        <v>125</v>
      </c>
      <c r="AD5" s="21" t="s">
        <v>108</v>
      </c>
      <c r="AE5" s="21" t="s">
        <v>109</v>
      </c>
      <c r="AF5" s="22" t="s">
        <v>92</v>
      </c>
    </row>
    <row r="6" spans="1:73">
      <c r="A6" s="13" t="s">
        <v>138</v>
      </c>
      <c r="B6" s="13" t="s">
        <v>139</v>
      </c>
      <c r="C6" s="14" t="s">
        <v>140</v>
      </c>
      <c r="D6" s="14" t="s">
        <v>141</v>
      </c>
      <c r="E6" s="14" t="s">
        <v>130</v>
      </c>
      <c r="F6" s="14">
        <v>15376396858</v>
      </c>
      <c r="G6" s="14" t="s">
        <v>142</v>
      </c>
      <c r="H6" s="15">
        <v>45996</v>
      </c>
      <c r="I6" s="15">
        <v>45999</v>
      </c>
      <c r="J6" s="16" t="str">
        <f t="shared" si="0"/>
        <v>2025年Q4</v>
      </c>
      <c r="K6" s="16" t="str">
        <f ca="1">IF(I6="","密接登记日期为空",_xlfn.LET(_xlpm.months,DATEDIF(I6,TODAY(),"m"),IF(_xlpm.months&lt;6,"未到随访时间",IF(_xlpm.months&lt;12,"应完成6月随访",IF(_xlpm.months&lt;24,"应完成12月随访","应完成24月随访")))))</f>
        <v>未到随访时间</v>
      </c>
      <c r="L6" s="17" t="s">
        <v>98</v>
      </c>
      <c r="M6" s="18" t="s">
        <v>143</v>
      </c>
      <c r="N6" s="19">
        <v>44</v>
      </c>
      <c r="O6" s="16" t="str">
        <f t="shared" si="1"/>
        <v>≥15岁</v>
      </c>
      <c r="P6" s="17">
        <v>13458779118</v>
      </c>
      <c r="Q6" s="17" t="s">
        <v>100</v>
      </c>
      <c r="R6" s="17" t="s">
        <v>134</v>
      </c>
      <c r="S6" s="20">
        <v>46010</v>
      </c>
      <c r="T6" s="21" t="s">
        <v>144</v>
      </c>
      <c r="U6" s="21" t="s">
        <v>145</v>
      </c>
      <c r="V6" s="20">
        <v>46016</v>
      </c>
      <c r="W6" s="21" t="s">
        <v>104</v>
      </c>
      <c r="X6" s="21" t="s">
        <v>105</v>
      </c>
      <c r="Y6" s="20">
        <v>46022</v>
      </c>
      <c r="Z6" s="21" t="s">
        <v>87</v>
      </c>
      <c r="AA6" s="21" t="s">
        <v>88</v>
      </c>
      <c r="AB6" s="20">
        <v>46031</v>
      </c>
      <c r="AC6" s="21" t="s">
        <v>89</v>
      </c>
      <c r="AD6" s="21" t="s">
        <v>90</v>
      </c>
      <c r="AE6" s="21" t="s">
        <v>91</v>
      </c>
      <c r="AF6" s="22" t="s">
        <v>92</v>
      </c>
    </row>
    <row r="7" spans="1:73">
      <c r="A7" s="13" t="s">
        <v>138</v>
      </c>
      <c r="B7" s="13" t="s">
        <v>146</v>
      </c>
      <c r="C7" s="14" t="s">
        <v>128</v>
      </c>
      <c r="D7" s="14" t="s">
        <v>147</v>
      </c>
      <c r="E7" s="14" t="s">
        <v>130</v>
      </c>
      <c r="F7" s="14">
        <v>13483940094</v>
      </c>
      <c r="G7" s="14" t="s">
        <v>148</v>
      </c>
      <c r="H7" s="15">
        <v>46018</v>
      </c>
      <c r="I7" s="15">
        <v>46023</v>
      </c>
      <c r="J7" s="16" t="str">
        <f t="shared" si="0"/>
        <v>2026年Q1</v>
      </c>
      <c r="K7" s="16" t="str">
        <f ca="1">IF(I7="","密接登记日期为空",_xlfn.LET(_xlpm.months,DATEDIF(I7,TODAY(),"m"),IF(_xlpm.months&lt;6,"未到随访时间",IF(_xlpm.months&lt;12,"应完成6月随访",IF(_xlpm.months&lt;24,"应完成12月随访","应完成24月随访")))))</f>
        <v>未到随访时间</v>
      </c>
      <c r="L7" s="17" t="s">
        <v>79</v>
      </c>
      <c r="M7" s="18" t="s">
        <v>149</v>
      </c>
      <c r="N7" s="19">
        <v>56</v>
      </c>
      <c r="O7" s="16" t="str">
        <f t="shared" si="1"/>
        <v>≥15岁</v>
      </c>
      <c r="P7" s="17">
        <v>13909520361</v>
      </c>
      <c r="Q7" s="17" t="s">
        <v>100</v>
      </c>
      <c r="R7" s="17" t="s">
        <v>150</v>
      </c>
      <c r="S7" s="20">
        <v>46033</v>
      </c>
      <c r="T7" s="21" t="s">
        <v>151</v>
      </c>
      <c r="U7" s="21" t="s">
        <v>145</v>
      </c>
      <c r="V7" s="20">
        <v>46048</v>
      </c>
      <c r="W7" s="21" t="s">
        <v>85</v>
      </c>
      <c r="X7" s="21" t="s">
        <v>86</v>
      </c>
      <c r="Y7" s="20">
        <v>46053</v>
      </c>
      <c r="Z7" s="21" t="s">
        <v>123</v>
      </c>
      <c r="AA7" s="21" t="s">
        <v>124</v>
      </c>
      <c r="AB7" s="20">
        <v>46056</v>
      </c>
      <c r="AC7" s="21" t="s">
        <v>107</v>
      </c>
      <c r="AD7" s="21" t="s">
        <v>105</v>
      </c>
      <c r="AE7" s="21" t="s">
        <v>126</v>
      </c>
      <c r="AF7" s="22" t="s">
        <v>92</v>
      </c>
    </row>
    <row r="8" spans="1:73">
      <c r="A8" s="13" t="s">
        <v>152</v>
      </c>
      <c r="B8" s="13" t="s">
        <v>94</v>
      </c>
      <c r="C8" s="14" t="s">
        <v>75</v>
      </c>
      <c r="D8" s="14" t="s">
        <v>153</v>
      </c>
      <c r="E8" s="14" t="s">
        <v>154</v>
      </c>
      <c r="F8" s="14">
        <v>17376607312</v>
      </c>
      <c r="G8" s="14" t="s">
        <v>155</v>
      </c>
      <c r="H8" s="15">
        <v>45870</v>
      </c>
      <c r="I8" s="15">
        <v>45875</v>
      </c>
      <c r="J8" s="16" t="str">
        <f t="shared" si="0"/>
        <v>2025年Q3</v>
      </c>
      <c r="K8" s="16" t="str">
        <f ca="1">IF(I8="","密接登记日期为空",_xlfn.LET(_xlpm.months,DATEDIF(I8,TODAY(),"m"),IF(_xlpm.months&lt;6,"未到随访时间",IF(_xlpm.months&lt;12,"应完成6月随访",IF(_xlpm.months&lt;24,"应完成12月随访","应完成24月随访")))))</f>
        <v>应完成6月随访</v>
      </c>
      <c r="L8" s="17" t="s">
        <v>156</v>
      </c>
      <c r="M8" s="18" t="s">
        <v>157</v>
      </c>
      <c r="N8" s="19">
        <v>37</v>
      </c>
      <c r="O8" s="16" t="str">
        <f t="shared" si="1"/>
        <v>≥15岁</v>
      </c>
      <c r="P8" s="17">
        <v>17233861032</v>
      </c>
      <c r="Q8" s="17" t="s">
        <v>81</v>
      </c>
      <c r="R8" s="17" t="s">
        <v>158</v>
      </c>
      <c r="S8" s="20">
        <v>45885</v>
      </c>
      <c r="T8" s="21" t="s">
        <v>159</v>
      </c>
      <c r="U8" s="21" t="s">
        <v>144</v>
      </c>
      <c r="V8" s="20">
        <v>45910</v>
      </c>
      <c r="W8" s="21" t="s">
        <v>104</v>
      </c>
      <c r="X8" s="21" t="s">
        <v>86</v>
      </c>
      <c r="Y8" s="20">
        <v>45913</v>
      </c>
      <c r="Z8" s="21" t="s">
        <v>89</v>
      </c>
      <c r="AA8" s="21" t="s">
        <v>124</v>
      </c>
      <c r="AB8" s="20">
        <v>45918</v>
      </c>
      <c r="AC8" s="21" t="s">
        <v>107</v>
      </c>
      <c r="AD8" s="21" t="s">
        <v>105</v>
      </c>
      <c r="AE8" s="21" t="s">
        <v>126</v>
      </c>
      <c r="AF8" s="22" t="s">
        <v>92</v>
      </c>
    </row>
    <row r="9" spans="1:73">
      <c r="A9" s="13" t="s">
        <v>160</v>
      </c>
      <c r="B9" s="13" t="s">
        <v>112</v>
      </c>
      <c r="C9" s="14" t="s">
        <v>140</v>
      </c>
      <c r="D9" s="14" t="s">
        <v>161</v>
      </c>
      <c r="E9" s="14" t="s">
        <v>115</v>
      </c>
      <c r="F9" s="14">
        <v>18880140635</v>
      </c>
      <c r="G9" s="14" t="s">
        <v>162</v>
      </c>
      <c r="H9" s="15">
        <v>45970</v>
      </c>
      <c r="I9" s="15">
        <v>45972</v>
      </c>
      <c r="J9" s="16" t="str">
        <f t="shared" si="0"/>
        <v>2025年Q4</v>
      </c>
      <c r="K9" s="16" t="str">
        <f ca="1">IF(I9="","密接登记日期为空",_xlfn.LET(_xlpm.months,DATEDIF(I9,TODAY(),"m"),IF(_xlpm.months&lt;6,"未到随访时间",IF(_xlpm.months&lt;12,"应完成6月随访",IF(_xlpm.months&lt;24,"应完成12月随访","应完成24月随访")))))</f>
        <v>未到随访时间</v>
      </c>
      <c r="L9" s="17" t="s">
        <v>163</v>
      </c>
      <c r="M9" s="18" t="s">
        <v>164</v>
      </c>
      <c r="N9" s="19">
        <v>24</v>
      </c>
      <c r="O9" s="16" t="str">
        <f t="shared" si="1"/>
        <v>≥15岁</v>
      </c>
      <c r="P9" s="17">
        <v>17258242441</v>
      </c>
      <c r="Q9" s="17" t="s">
        <v>100</v>
      </c>
      <c r="R9" s="17" t="s">
        <v>134</v>
      </c>
      <c r="S9" s="20">
        <v>45976</v>
      </c>
      <c r="T9" s="21" t="s">
        <v>83</v>
      </c>
      <c r="U9" s="21" t="s">
        <v>145</v>
      </c>
      <c r="V9" s="20">
        <v>45978</v>
      </c>
      <c r="W9" s="21" t="s">
        <v>104</v>
      </c>
      <c r="X9" s="21" t="s">
        <v>105</v>
      </c>
      <c r="Y9" s="20">
        <v>45982</v>
      </c>
      <c r="Z9" s="21" t="s">
        <v>89</v>
      </c>
      <c r="AA9" s="21" t="s">
        <v>88</v>
      </c>
      <c r="AB9" s="20">
        <v>45996</v>
      </c>
      <c r="AC9" s="21" t="s">
        <v>89</v>
      </c>
      <c r="AD9" s="21" t="s">
        <v>90</v>
      </c>
      <c r="AE9" s="21" t="s">
        <v>91</v>
      </c>
      <c r="AF9" s="22" t="s">
        <v>110</v>
      </c>
    </row>
    <row r="10" spans="1:73">
      <c r="A10" s="13" t="s">
        <v>111</v>
      </c>
      <c r="B10" s="13" t="s">
        <v>74</v>
      </c>
      <c r="C10" s="14" t="s">
        <v>165</v>
      </c>
      <c r="D10" s="14" t="s">
        <v>166</v>
      </c>
      <c r="E10" s="14" t="s">
        <v>77</v>
      </c>
      <c r="F10" s="14">
        <v>15841623563</v>
      </c>
      <c r="G10" s="14" t="s">
        <v>167</v>
      </c>
      <c r="H10" s="15">
        <v>45732</v>
      </c>
      <c r="I10" s="15">
        <v>45736</v>
      </c>
      <c r="J10" s="16" t="str">
        <f t="shared" si="0"/>
        <v>2025年Q1</v>
      </c>
      <c r="K10" s="16" t="str">
        <f ca="1">IF(I10="","密接登记日期为空",_xlfn.LET(_xlpm.months,DATEDIF(I10,TODAY(),"m"),IF(_xlpm.months&lt;6,"未到随访时间",IF(_xlpm.months&lt;12,"应完成6月随访",IF(_xlpm.months&lt;24,"应完成12月随访","应完成24月随访")))))</f>
        <v>应完成12月随访</v>
      </c>
      <c r="L10" s="17" t="s">
        <v>168</v>
      </c>
      <c r="M10" s="18" t="s">
        <v>169</v>
      </c>
      <c r="N10" s="19">
        <v>22</v>
      </c>
      <c r="O10" s="16" t="str">
        <f t="shared" si="1"/>
        <v>≥15岁</v>
      </c>
      <c r="P10" s="17">
        <v>13249518282</v>
      </c>
      <c r="Q10" s="17" t="s">
        <v>100</v>
      </c>
      <c r="R10" s="17" t="s">
        <v>82</v>
      </c>
      <c r="S10" s="20">
        <v>45746</v>
      </c>
      <c r="T10" s="21" t="s">
        <v>120</v>
      </c>
      <c r="U10" s="21" t="s">
        <v>136</v>
      </c>
      <c r="V10" s="20">
        <v>45751</v>
      </c>
      <c r="W10" s="21" t="s">
        <v>122</v>
      </c>
      <c r="X10" s="21" t="s">
        <v>105</v>
      </c>
      <c r="Y10" s="20">
        <v>45752</v>
      </c>
      <c r="Z10" s="21" t="s">
        <v>123</v>
      </c>
      <c r="AA10" s="21" t="s">
        <v>88</v>
      </c>
      <c r="AB10" s="20">
        <v>45761</v>
      </c>
      <c r="AC10" s="21" t="s">
        <v>89</v>
      </c>
      <c r="AD10" s="21" t="s">
        <v>90</v>
      </c>
      <c r="AE10" s="21" t="s">
        <v>91</v>
      </c>
      <c r="AF10" s="22" t="s">
        <v>110</v>
      </c>
    </row>
    <row r="11" spans="1:73">
      <c r="A11" s="13" t="s">
        <v>152</v>
      </c>
      <c r="B11" s="13" t="s">
        <v>170</v>
      </c>
      <c r="C11" s="14" t="s">
        <v>113</v>
      </c>
      <c r="D11" s="14" t="s">
        <v>171</v>
      </c>
      <c r="E11" s="14" t="s">
        <v>77</v>
      </c>
      <c r="F11" s="14">
        <v>13780330238</v>
      </c>
      <c r="G11" s="14" t="s">
        <v>172</v>
      </c>
      <c r="H11" s="15">
        <v>45709</v>
      </c>
      <c r="I11" s="15">
        <v>45710</v>
      </c>
      <c r="J11" s="16" t="str">
        <f t="shared" si="0"/>
        <v>2025年Q1</v>
      </c>
      <c r="K11" s="16" t="str">
        <f ca="1">IF(I11="","密接登记日期为空",_xlfn.LET(_xlpm.months,DATEDIF(I11,TODAY(),"m"),IF(_xlpm.months&lt;6,"未到随访时间",IF(_xlpm.months&lt;12,"应完成6月随访",IF(_xlpm.months&lt;24,"应完成12月随访","应完成24月随访")))))</f>
        <v>应完成12月随访</v>
      </c>
      <c r="L11" s="17" t="s">
        <v>173</v>
      </c>
      <c r="M11" s="18" t="s">
        <v>174</v>
      </c>
      <c r="N11" s="19">
        <v>29</v>
      </c>
      <c r="O11" s="16" t="str">
        <f t="shared" si="1"/>
        <v>≥15岁</v>
      </c>
      <c r="P11" s="17">
        <v>15816332802</v>
      </c>
      <c r="Q11" s="17" t="s">
        <v>81</v>
      </c>
      <c r="R11" s="17" t="s">
        <v>89</v>
      </c>
      <c r="S11" s="20">
        <v>45723</v>
      </c>
      <c r="T11" s="21" t="s">
        <v>144</v>
      </c>
      <c r="U11" s="21" t="s">
        <v>145</v>
      </c>
      <c r="V11" s="20">
        <v>45725</v>
      </c>
      <c r="W11" s="21" t="s">
        <v>91</v>
      </c>
      <c r="X11" s="21" t="s">
        <v>105</v>
      </c>
      <c r="Y11" s="20">
        <v>45732</v>
      </c>
      <c r="Z11" s="21" t="s">
        <v>123</v>
      </c>
      <c r="AA11" s="21" t="s">
        <v>88</v>
      </c>
      <c r="AB11" s="20">
        <v>45738</v>
      </c>
      <c r="AC11" s="21" t="s">
        <v>89</v>
      </c>
      <c r="AD11" s="21" t="s">
        <v>90</v>
      </c>
      <c r="AE11" s="21" t="s">
        <v>91</v>
      </c>
      <c r="AF11" s="22" t="s">
        <v>92</v>
      </c>
    </row>
  </sheetData>
  <conditionalFormatting sqref="AE1">
    <cfRule type="containsText" dxfId="0" priority="20" operator="between" text="潜伏感染者">
      <formula>NOT(ISERROR(SEARCH("潜伏感染者",AE1)))</formula>
    </cfRule>
  </conditionalFormatting>
  <dataValidations count="2">
    <dataValidation showInputMessage="1" showErrorMessage="1" errorTitle="日期输入错误" error="请输出合理日期！" promptTitle="提示" prompt="请输入mmmm/yy/dd日期格式。" sqref="I1 S1 V1 Y1 AB1"/>
    <dataValidation type="whole" operator="between" showInputMessage="1" showErrorMessage="1" sqref="N1">
      <formula1>0</formula1>
      <formula2>105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密接测试数据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Haitao Liu</dc:creator>
  <cp:lastModifiedBy>Colins</cp:lastModifiedBy>
  <dcterms:created xsi:type="dcterms:W3CDTF">2026-04-25T14:48:00Z</dcterms:created>
  <dcterms:modified xsi:type="dcterms:W3CDTF">2026-05-05T08:15:48Z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15C9F76032B14F479DED9ADE98C3A6D3_13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