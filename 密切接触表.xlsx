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3月" sheetId="2" r:id="rId2"/>
  </sheets>
  <externalReferences>
    <externalReference r:id="rId4"/>
  </externalReferences>
  <definedNames>
    <definedName name="结核抗原皮肤试验_EC">[1]选项源!$B$26:$B$28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<sst xmlns="http://schemas.openxmlformats.org/spreadsheetml/2006/main" count="286" uniqueCount="154">
  <si>
    <t>市/州</t>
  </si>
  <si>
    <t>区/县</t>
  </si>
  <si>
    <t>患者姓名</t>
  </si>
  <si>
    <t>病案号</t>
  </si>
  <si>
    <t>病原学结果</t>
  </si>
  <si>
    <t>患者电话</t>
  </si>
  <si>
    <t>患者身份证号</t>
  </si>
  <si>
    <t>填表日期（填写yyyy/mm/dd格式）</t>
  </si>
  <si>
    <t>密切接触者登记日期（填写yyyy/mm/dd格式）</t>
  </si>
  <si>
    <t>报表填报季度（自动生成）</t>
  </si>
  <si>
    <t>计算登记日期到当前日期的时间间隔，提示随访期限（自动生成）</t>
  </si>
  <si>
    <t>接触者姓名</t>
  </si>
  <si>
    <t>接触者身份证号</t>
  </si>
  <si>
    <t>年龄（岁）</t>
  </si>
  <si>
    <t>年龄组（自动判断）</t>
  </si>
  <si>
    <t>接触者电话</t>
  </si>
  <si>
    <t>接触类型（下拉选择）</t>
  </si>
  <si>
    <t>接触场所（下拉选择）</t>
  </si>
  <si>
    <t>首次筛查日期</t>
  </si>
  <si>
    <t>结核症状1（下拉选择）</t>
  </si>
  <si>
    <t>结核症状2（自行补充）</t>
  </si>
  <si>
    <t>感染检测日期</t>
  </si>
  <si>
    <t>感染检测方法（下拉选择）</t>
  </si>
  <si>
    <t>结果判定（下拉选择）</t>
  </si>
  <si>
    <t>影像检查日期（填写yyyy/mm/dd格式）</t>
  </si>
  <si>
    <t>影像方法（下拉选择）</t>
  </si>
  <si>
    <t>影像结果（下拉选择）</t>
  </si>
  <si>
    <t>痰检留标日期（填写yyyy/mm/dd格式）</t>
  </si>
  <si>
    <t>痰检方法（下拉选择）</t>
  </si>
  <si>
    <t>痰检结果(下拉选择)</t>
  </si>
  <si>
    <t>最终筛查结果(下拉选择)</t>
  </si>
  <si>
    <t>有无禁忌症(下拉选择)</t>
  </si>
  <si>
    <t>不接受预防性治疗的原因(下拉选择)</t>
  </si>
  <si>
    <t>备注：其他原因和具体的禁忌症（自行填写）</t>
  </si>
  <si>
    <t>是否开展预防治疗(下拉选择)</t>
  </si>
  <si>
    <t>预防性治疗方案(下拉选择)</t>
  </si>
  <si>
    <t>其他方案，请备注</t>
  </si>
  <si>
    <t>是否完成治疗(下拉选择)</t>
  </si>
  <si>
    <t>若未完成预防性治疗请选择原因(下拉选择)</t>
  </si>
  <si>
    <t>6月随访日期（根据密接登记日期自动生成）</t>
  </si>
  <si>
    <t>6月随访-症状筛查日期</t>
  </si>
  <si>
    <t>6月随访-症状1（下拉选择）</t>
  </si>
  <si>
    <t>6月随访-症状2（自行填写）</t>
  </si>
  <si>
    <t>6月随访-影像检查日期</t>
  </si>
  <si>
    <t>6月随访-影像检查方法（下拉选择）</t>
  </si>
  <si>
    <t>6月随访-影像结果（下拉选择）</t>
  </si>
  <si>
    <t>6月随访-留标本时间</t>
  </si>
  <si>
    <t>6月随访-病原学检查方法（下拉选择）</t>
  </si>
  <si>
    <t>6月随访-病原学检查结果（下拉选择）</t>
  </si>
  <si>
    <t>6月随访-筛查结果（下拉选择）</t>
  </si>
  <si>
    <t>12月随访日期（根据密接登记日期自动生成）</t>
  </si>
  <si>
    <t>12月随访-症状筛查日期</t>
  </si>
  <si>
    <t>12月随访-症状（下拉选择）</t>
  </si>
  <si>
    <t>12月随访-症状2（自行填写）</t>
  </si>
  <si>
    <t>12月随访-影像检查日期</t>
  </si>
  <si>
    <t>12月随访-影像检查方法（下拉选择）</t>
  </si>
  <si>
    <t>12月随访-影像结果（下拉选择）</t>
  </si>
  <si>
    <t>12月随访-留标本时间</t>
  </si>
  <si>
    <t>12月随访-病原学检查方法（下拉选择）</t>
  </si>
  <si>
    <t>12月随访-病原学检查结果（下拉选择）</t>
  </si>
  <si>
    <t>12月随访-筛查结果（下拉选择）</t>
  </si>
  <si>
    <t>24月随访日期（根据密接登记日期自动生成）</t>
  </si>
  <si>
    <t>24月随访-症状筛查日期</t>
  </si>
  <si>
    <t>24月随访-症状（下拉选择）</t>
  </si>
  <si>
    <t>24月随访-症状2（自行填写</t>
  </si>
  <si>
    <t>24月随访-影像检查日期</t>
  </si>
  <si>
    <t>24月随访-影像检查方法（下拉选择）</t>
  </si>
  <si>
    <t>24月随访-影像结果（下拉选择）</t>
  </si>
  <si>
    <t>24月随访-留标本时间</t>
  </si>
  <si>
    <t>24月随访-病原学检查方法（下拉选择）</t>
  </si>
  <si>
    <t>24月随访-病原学检查结果（下拉选择）</t>
  </si>
  <si>
    <t>24月随访-筛查结果（下拉选择）</t>
  </si>
  <si>
    <t>备注</t>
  </si>
  <si>
    <t>（示例）成都市</t>
  </si>
  <si>
    <t>武侯区</t>
  </si>
  <si>
    <t>示例</t>
  </si>
  <si>
    <t>510302050-2065-00194</t>
  </si>
  <si>
    <t>利福平耐药</t>
  </si>
  <si>
    <t>123344556578999990</t>
  </si>
  <si>
    <t>家庭内</t>
  </si>
  <si>
    <t>学校</t>
  </si>
  <si>
    <t>咳嗽咳痰&lt;2周</t>
  </si>
  <si>
    <t>盗汗，胸痛</t>
  </si>
  <si>
    <t>结核抗原皮肤试验_EC</t>
  </si>
  <si>
    <t>阴性</t>
  </si>
  <si>
    <t>胸部X光片</t>
  </si>
  <si>
    <t>异常(疑似活动性结核病变)</t>
  </si>
  <si>
    <t>其他(需注明)</t>
  </si>
  <si>
    <t>无法判读(含未查,需注明)</t>
  </si>
  <si>
    <t>活动性肺结核</t>
  </si>
  <si>
    <t>无</t>
  </si>
  <si>
    <t>开展</t>
  </si>
  <si>
    <t>注射用母牛分枝杆菌（微卡）</t>
  </si>
  <si>
    <t>否</t>
  </si>
  <si>
    <t>未评估</t>
  </si>
  <si>
    <t>病原学阳性</t>
  </si>
  <si>
    <t>家庭外</t>
  </si>
  <si>
    <t>住所</t>
  </si>
  <si>
    <t>未问诊</t>
  </si>
  <si>
    <t>结核菌素皮肤试验_PPD</t>
  </si>
  <si>
    <t>阳性</t>
  </si>
  <si>
    <t>胸部CT</t>
  </si>
  <si>
    <t>未见异常</t>
  </si>
  <si>
    <t>涂片</t>
  </si>
  <si>
    <t>未发现异常</t>
  </si>
  <si>
    <t>有(需明确)</t>
  </si>
  <si>
    <t>医生判定不符合</t>
  </si>
  <si>
    <t>未开展</t>
  </si>
  <si>
    <t>6-9H</t>
  </si>
  <si>
    <t>是</t>
  </si>
  <si>
    <t>失败</t>
  </si>
  <si>
    <t>病原学阴性</t>
  </si>
  <si>
    <t>监管场所</t>
  </si>
  <si>
    <t>无症状</t>
  </si>
  <si>
    <t>Y干扰素释放试验_IGRA</t>
  </si>
  <si>
    <t>无法判断</t>
  </si>
  <si>
    <t>培养</t>
  </si>
  <si>
    <t>疑似肺结核</t>
  </si>
  <si>
    <t>拒绝</t>
  </si>
  <si>
    <t>4R</t>
  </si>
  <si>
    <t>异常(非活动性结核病变)</t>
  </si>
  <si>
    <t>无结果</t>
  </si>
  <si>
    <t>福利机构</t>
  </si>
  <si>
    <t>未做</t>
  </si>
  <si>
    <t>未查</t>
  </si>
  <si>
    <t>分子生物学</t>
  </si>
  <si>
    <t>污染</t>
  </si>
  <si>
    <t>潜伏感染者</t>
  </si>
  <si>
    <t>其他（请备注）</t>
  </si>
  <si>
    <t>6Lfx</t>
  </si>
  <si>
    <t>死亡</t>
  </si>
  <si>
    <t>其他(含未查,需注明)</t>
  </si>
  <si>
    <t>精神病院</t>
  </si>
  <si>
    <t>咳嗽咳痰≥2周</t>
  </si>
  <si>
    <t>其他(需注明)未查</t>
  </si>
  <si>
    <t>3H2P2</t>
  </si>
  <si>
    <t>失访</t>
  </si>
  <si>
    <t>工矿企业</t>
  </si>
  <si>
    <t>咯血或血痰</t>
  </si>
  <si>
    <t>3HR</t>
  </si>
  <si>
    <t>不良反应停药</t>
  </si>
  <si>
    <t>娱乐场所</t>
  </si>
  <si>
    <t>其他(请备注在随后一列)</t>
  </si>
  <si>
    <t>胸闷</t>
  </si>
  <si>
    <t>盗汗</t>
  </si>
  <si>
    <t>胸痛</t>
  </si>
  <si>
    <t>低热</t>
  </si>
  <si>
    <t>食欲减退</t>
  </si>
  <si>
    <t>乏力</t>
  </si>
  <si>
    <t>体重减轻</t>
  </si>
  <si>
    <t>其他(需在最后备注)</t>
  </si>
  <si>
    <t>3月感染检测日期</t>
  </si>
  <si>
    <t>3月感染检测方法（下拉选择）</t>
  </si>
  <si>
    <t>3月结果判定（下拉选择）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</si>
</sst>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"/>
    <numFmt numFmtId="178" formatCode="yyyy\-mm\-dd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11" fillId="12" borderId="6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176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5" borderId="1" xfId="0" applyFont="1" applyFill="1" applyBorder="1" applyAlignment="1" applyProtection="1">
      <alignment horizontal="center" vertical="center" wrapText="1"/>
    </xf>
    <xf numFmtId="176" fontId="1" fillId="5" borderId="1" xfId="0" applyNumberFormat="1" applyFont="1" applyFill="1" applyBorder="1" applyAlignment="1" applyProtection="1">
      <alignment horizontal="center" vertical="center" wrapText="1"/>
    </xf>
    <xf numFmtId="177" fontId="1" fillId="5" borderId="1" xfId="0" applyNumberFormat="1" applyFont="1" applyFill="1" applyBorder="1" applyAlignment="1" applyProtection="1">
      <alignment horizontal="center" vertical="center" wrapText="1"/>
    </xf>
    <xf numFmtId="0" fontId="1" fillId="5" borderId="1" xfId="0" applyNumberFormat="1" applyFont="1" applyFill="1" applyBorder="1" applyAlignment="1" applyProtection="1">
      <alignment horizontal="center" vertical="center" wrapText="1"/>
    </xf>
    <xf numFmtId="0" fontId="1" fillId="6" borderId="1" xfId="0" applyFont="1" applyFill="1" applyBorder="1" applyAlignment="1" applyProtection="1">
      <alignment horizontal="center" vertical="center" wrapText="1"/>
    </xf>
    <xf numFmtId="0" fontId="1" fillId="7" borderId="1" xfId="0" applyFont="1" applyFill="1" applyBorder="1" applyAlignment="1" applyProtection="1">
      <alignment horizontal="center" vertical="center" wrapText="1"/>
    </xf>
    <xf numFmtId="0" fontId="1" fillId="8" borderId="1" xfId="0" applyFont="1" applyFill="1" applyBorder="1" applyAlignment="1" applyProtection="1">
      <alignment horizontal="center" vertical="center" wrapText="1"/>
    </xf>
    <xf numFmtId="0" fontId="1" fillId="9" borderId="1" xfId="0" applyFont="1" applyFill="1" applyBorder="1" applyAlignment="1" applyProtection="1">
      <alignment horizontal="center" vertical="center" wrapText="1"/>
    </xf>
    <xf numFmtId="0" fontId="0" fillId="3" borderId="1" xfId="0" applyFill="1" applyBorder="1" applyAlignment="1" applyProtection="1">
      <alignment vertical="center"/>
      <protection locked="0"/>
    </xf>
    <xf numFmtId="0" fontId="0" fillId="4" borderId="1" xfId="0" applyFill="1" applyBorder="1" applyAlignment="1" applyProtection="1">
      <alignment vertical="center"/>
      <protection locked="0"/>
    </xf>
    <xf numFmtId="176" fontId="0" fillId="5" borderId="1" xfId="0" applyNumberForma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center" wrapText="1"/>
    </xf>
    <xf numFmtId="0" fontId="0" fillId="5" borderId="1" xfId="0" applyFill="1" applyBorder="1" applyAlignment="1" applyProtection="1">
      <alignment vertical="center"/>
      <protection locked="0"/>
    </xf>
    <xf numFmtId="49" fontId="0" fillId="5" borderId="1" xfId="0" applyNumberFormat="1" applyFill="1" applyBorder="1" applyAlignment="1" applyProtection="1">
      <alignment vertical="center"/>
      <protection locked="0"/>
    </xf>
    <xf numFmtId="177" fontId="0" fillId="5" borderId="1" xfId="0" applyNumberFormat="1" applyFill="1" applyBorder="1" applyAlignment="1" applyProtection="1">
      <alignment vertical="center" wrapText="1"/>
      <protection locked="0"/>
    </xf>
    <xf numFmtId="0" fontId="0" fillId="5" borderId="1" xfId="0" applyNumberFormat="1" applyFill="1" applyBorder="1" applyAlignment="1" applyProtection="1">
      <alignment vertical="center" wrapText="1"/>
    </xf>
    <xf numFmtId="176" fontId="0" fillId="2" borderId="1" xfId="0" applyNumberFormat="1" applyFill="1" applyBorder="1" applyAlignment="1" applyProtection="1">
      <alignment vertical="center"/>
      <protection locked="0"/>
    </xf>
    <xf numFmtId="0" fontId="0" fillId="2" borderId="1" xfId="0" applyFill="1" applyBorder="1" applyAlignment="1" applyProtection="1">
      <alignment vertical="center"/>
      <protection locked="0"/>
    </xf>
    <xf numFmtId="0" fontId="0" fillId="6" borderId="1" xfId="0" applyFill="1" applyBorder="1" applyAlignment="1" applyProtection="1">
      <alignment vertical="center"/>
      <protection locked="0"/>
    </xf>
    <xf numFmtId="178" fontId="0" fillId="6" borderId="1" xfId="0" applyNumberFormat="1" applyFill="1" applyBorder="1" applyAlignment="1" applyProtection="1">
      <alignment vertical="center"/>
      <protection locked="0"/>
    </xf>
    <xf numFmtId="178" fontId="0" fillId="7" borderId="1" xfId="0" applyNumberFormat="1" applyFill="1" applyBorder="1" applyAlignment="1" applyProtection="1">
      <alignment vertical="center"/>
    </xf>
    <xf numFmtId="178" fontId="0" fillId="7" borderId="1" xfId="0" applyNumberFormat="1" applyFill="1" applyBorder="1" applyAlignment="1" applyProtection="1">
      <alignment vertical="center"/>
      <protection locked="0"/>
    </xf>
    <xf numFmtId="178" fontId="0" fillId="8" borderId="1" xfId="0" applyNumberFormat="1" applyFill="1" applyBorder="1" applyAlignment="1" applyProtection="1">
      <alignment vertical="center"/>
    </xf>
    <xf numFmtId="178" fontId="0" fillId="8" borderId="1" xfId="0" applyNumberFormat="1" applyFill="1" applyBorder="1" applyAlignment="1" applyProtection="1">
      <alignment vertical="center"/>
      <protection locked="0"/>
    </xf>
    <xf numFmtId="178" fontId="0" fillId="2" borderId="1" xfId="0" applyNumberFormat="1" applyFill="1" applyBorder="1" applyAlignment="1" applyProtection="1">
      <alignment vertical="center"/>
    </xf>
    <xf numFmtId="0" fontId="0" fillId="0" borderId="1" xfId="0" applyFill="1" applyBorder="1" applyAlignment="1" applyProtection="1">
      <alignment vertical="center"/>
      <protection locked="0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2954;&#32467;&#26680;&#23494;&#20999;&#25509;&#35302;&#32773;&#31579;&#26597;&#32479;&#35745;&#20010;&#26696;&#34920;-&#26368;&#32456;&#29256;04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筛查登记本"/>
      <sheetName val="填写说明"/>
      <sheetName val="选项源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7"/>
  <sheetViews>
    <sheetView tabSelected="1" zoomScale="70" zoomScaleNormal="70" topLeftCell="BE1" workbookViewId="0">
      <selection activeCell="O37" sqref="O37"/>
    </sheetView>
  </sheetViews>
  <sheetFormatPr defaultColWidth="8.88888888888889" defaultRowHeight="14.4"/>
  <cols>
    <col min="1" max="1" width="27.3333333333333" customWidth="1"/>
    <col min="2" max="2" width="23" customWidth="1"/>
    <col min="3" max="3" width="14.6666666666667" customWidth="1"/>
    <col min="4" max="4" width="29.2222222222222" customWidth="1"/>
    <col min="5" max="5" width="23.7777777777778" customWidth="1"/>
    <col min="6" max="7" width="26.2222222222222" customWidth="1"/>
    <col min="8" max="8" width="18.2222222222222" customWidth="1"/>
    <col min="9" max="9" width="24.2222222222222" customWidth="1"/>
    <col min="10" max="10" width="23.3333333333333" customWidth="1"/>
    <col min="11" max="11" width="25.4444444444444" customWidth="1"/>
    <col min="13" max="13" width="20.8888888888889" customWidth="1"/>
    <col min="14" max="14" width="14.6018518518519" customWidth="1"/>
    <col min="18" max="18" width="14.1111111111111" customWidth="1"/>
    <col min="19" max="19" width="10.7777777777778" customWidth="1"/>
    <col min="20" max="20" width="20.8888888888889" customWidth="1"/>
    <col min="21" max="21" width="11.8888888888889" customWidth="1"/>
    <col min="22" max="22" width="10.7777777777778" customWidth="1"/>
    <col min="23" max="23" width="22" customWidth="1"/>
    <col min="24" max="24" width="16.1944444444444" customWidth="1"/>
    <col min="25" max="25" width="10.7777777777778" customWidth="1"/>
    <col min="26" max="26" width="14.1111111111111" customWidth="1"/>
    <col min="27" max="27" width="27.6666666666667" customWidth="1"/>
    <col min="28" max="28" width="10.7777777777778" customWidth="1"/>
    <col min="29" max="29" width="18.6666666666667" customWidth="1"/>
    <col min="30" max="30" width="26.5555555555556" customWidth="1"/>
    <col min="31" max="31" width="14.1111111111111" customWidth="1"/>
    <col min="32" max="32" width="11.8888888888889" customWidth="1"/>
    <col min="33" max="33" width="16.4444444444444" customWidth="1"/>
    <col min="36" max="36" width="29.8888888888889" customWidth="1"/>
    <col min="37" max="37" width="14.2222222222222" customWidth="1"/>
    <col min="39" max="39" width="14.1111111111111" customWidth="1"/>
    <col min="40" max="41" width="11.8888888888889" customWidth="1"/>
    <col min="42" max="42" width="20.8888888888889" customWidth="1"/>
    <col min="43" max="43" width="14" customWidth="1"/>
    <col min="44" max="44" width="11.8888888888889" customWidth="1"/>
    <col min="45" max="45" width="14.1111111111111" customWidth="1"/>
    <col min="46" max="46" width="27.6666666666667" customWidth="1"/>
    <col min="47" max="47" width="11.8888888888889" customWidth="1"/>
    <col min="48" max="48" width="20" customWidth="1"/>
    <col min="49" max="49" width="23.4444444444444" customWidth="1"/>
    <col min="50" max="50" width="21.8888888888889" customWidth="1"/>
    <col min="51" max="52" width="11.8888888888889" customWidth="1"/>
    <col min="53" max="53" width="20.8888888888889" customWidth="1"/>
    <col min="54" max="55" width="11.8888888888889" customWidth="1"/>
    <col min="56" max="56" width="14.1111111111111" customWidth="1"/>
    <col min="57" max="57" width="27.6666666666667" customWidth="1"/>
    <col min="58" max="58" width="11.8888888888889" customWidth="1"/>
    <col min="59" max="59" width="18.6666666666667" customWidth="1"/>
    <col min="60" max="60" width="26.5555555555556" customWidth="1"/>
    <col min="61" max="61" width="14.1111111111111" customWidth="1"/>
    <col min="62" max="62" width="20.6296296296296" customWidth="1"/>
    <col min="63" max="63" width="11.8888888888889" customWidth="1"/>
    <col min="64" max="64" width="13.962962962963" customWidth="1"/>
    <col min="65" max="65" width="15.7777777777778" customWidth="1"/>
    <col min="66" max="66" width="11.8888888888889" customWidth="1"/>
    <col min="67" max="67" width="14.1111111111111" customWidth="1"/>
    <col min="68" max="68" width="27.6666666666667" customWidth="1"/>
    <col min="69" max="69" width="11.8888888888889" customWidth="1"/>
    <col min="70" max="70" width="18.6666666666667" customWidth="1"/>
    <col min="71" max="71" width="26.5555555555556" customWidth="1"/>
    <col min="72" max="72" width="14.1111111111111" customWidth="1"/>
  </cols>
  <sheetData>
    <row r="1" ht="100.8" spans="1:7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8" t="s">
        <v>14</v>
      </c>
      <c r="P1" s="5" t="s">
        <v>15</v>
      </c>
      <c r="Q1" s="5" t="s">
        <v>16</v>
      </c>
      <c r="R1" s="5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12" t="s">
        <v>72</v>
      </c>
    </row>
    <row r="2" spans="1:73">
      <c r="A2" s="13" t="s">
        <v>73</v>
      </c>
      <c r="B2" s="13" t="s">
        <v>74</v>
      </c>
      <c r="C2" s="14" t="s">
        <v>75</v>
      </c>
      <c r="D2" s="14" t="s">
        <v>76</v>
      </c>
      <c r="E2" s="14" t="s">
        <v>77</v>
      </c>
      <c r="F2" s="14">
        <v>15862359856</v>
      </c>
      <c r="G2" s="14"/>
      <c r="H2" s="15">
        <v>46132</v>
      </c>
      <c r="I2" s="15">
        <v>46132</v>
      </c>
      <c r="J2" s="16" t="str">
        <f>IF(I2&lt;&gt;"",YEAR(I2)&amp;"年"&amp;"Q"&amp;INT((MONTH(I2)-1)/3)+1,"登记日期为空")</f>
        <v>2026年Q2</v>
      </c>
      <c r="K2" s="16" t="str">
        <f ca="1">IF(I2="","密接登记日期为空",_xlfn.LET(_xlpm.months,DATEDIF(I2,TODAY(),"m"),IF(_xlpm.months&lt;6,"未到随访时间",IF(_xlpm.months&lt;12,"应完成6月随访",IF(_xlpm.months&lt;24,"应完成12月随访","应完成24月随访")))))</f>
        <v>未到随访时间</v>
      </c>
      <c r="L2" s="17" t="s">
        <v>75</v>
      </c>
      <c r="M2" s="18" t="s">
        <v>78</v>
      </c>
      <c r="N2" s="19">
        <v>20</v>
      </c>
      <c r="O2" s="20" t="str">
        <f>IF(N2="","无有效年龄",IF(N2&lt;15,"＜15岁","≥15岁"))</f>
        <v>≥15岁</v>
      </c>
      <c r="P2" s="17">
        <v>15235866932</v>
      </c>
      <c r="Q2" s="17" t="s">
        <v>79</v>
      </c>
      <c r="R2" s="17" t="s">
        <v>80</v>
      </c>
      <c r="S2" s="21">
        <v>45767</v>
      </c>
      <c r="T2" s="22" t="s">
        <v>81</v>
      </c>
      <c r="U2" s="22" t="s">
        <v>82</v>
      </c>
      <c r="V2" s="21">
        <v>45792</v>
      </c>
      <c r="W2" s="22" t="s">
        <v>83</v>
      </c>
      <c r="X2" s="22" t="s">
        <v>84</v>
      </c>
      <c r="Y2" s="21">
        <v>46133</v>
      </c>
      <c r="Z2" s="22" t="s">
        <v>85</v>
      </c>
      <c r="AA2" s="22" t="s">
        <v>86</v>
      </c>
      <c r="AB2" s="21">
        <v>46173</v>
      </c>
      <c r="AC2" s="22" t="s">
        <v>87</v>
      </c>
      <c r="AD2" s="22" t="s">
        <v>88</v>
      </c>
      <c r="AE2" s="22" t="s">
        <v>89</v>
      </c>
      <c r="AF2" s="23" t="s">
        <v>90</v>
      </c>
      <c r="AG2" s="23" t="s">
        <v>90</v>
      </c>
      <c r="AH2" s="23" t="s">
        <v>90</v>
      </c>
      <c r="AI2" s="23" t="s">
        <v>91</v>
      </c>
      <c r="AJ2" s="23" t="s">
        <v>92</v>
      </c>
      <c r="AK2" s="23" t="s">
        <v>90</v>
      </c>
      <c r="AL2" s="23" t="s">
        <v>93</v>
      </c>
      <c r="AM2" s="24" t="s">
        <v>94</v>
      </c>
      <c r="AN2" s="25">
        <f>IF(I2="","密接登记日期为空",EDATE(I2,6))</f>
        <v>46315</v>
      </c>
      <c r="AO2" s="26">
        <v>46357</v>
      </c>
      <c r="AP2" s="26" t="s">
        <v>81</v>
      </c>
      <c r="AQ2" s="26" t="s">
        <v>82</v>
      </c>
      <c r="AR2" s="26">
        <v>46357</v>
      </c>
      <c r="AS2" s="26" t="s">
        <v>85</v>
      </c>
      <c r="AT2" s="26" t="s">
        <v>86</v>
      </c>
      <c r="AU2" s="26">
        <v>46357</v>
      </c>
      <c r="AV2" s="26" t="s">
        <v>87</v>
      </c>
      <c r="AW2" s="26" t="s">
        <v>88</v>
      </c>
      <c r="AX2" s="26" t="s">
        <v>89</v>
      </c>
      <c r="AY2" s="27">
        <f>IF(I2="","密接登记日期为空",EDATE(I2,12))</f>
        <v>46497</v>
      </c>
      <c r="AZ2" s="28">
        <v>46497</v>
      </c>
      <c r="BA2" s="28" t="s">
        <v>81</v>
      </c>
      <c r="BB2" s="28"/>
      <c r="BC2" s="28">
        <v>46497</v>
      </c>
      <c r="BD2" s="28" t="s">
        <v>85</v>
      </c>
      <c r="BE2" s="28" t="s">
        <v>86</v>
      </c>
      <c r="BF2" s="28">
        <v>46497</v>
      </c>
      <c r="BG2" s="28" t="s">
        <v>87</v>
      </c>
      <c r="BH2" s="28" t="s">
        <v>88</v>
      </c>
      <c r="BI2" s="28" t="s">
        <v>89</v>
      </c>
      <c r="BJ2" s="29">
        <f>IF(I2="","密接登记日期为空",EDATE(I2,24))</f>
        <v>46863</v>
      </c>
      <c r="BK2" s="29">
        <v>46863</v>
      </c>
      <c r="BL2" s="29" t="s">
        <v>81</v>
      </c>
      <c r="BM2" s="29"/>
      <c r="BN2" s="29">
        <v>46863</v>
      </c>
      <c r="BO2" s="29" t="s">
        <v>85</v>
      </c>
      <c r="BP2" s="29" t="s">
        <v>86</v>
      </c>
      <c r="BQ2" s="29">
        <v>46865</v>
      </c>
      <c r="BR2" s="29" t="s">
        <v>87</v>
      </c>
      <c r="BS2" s="29" t="s">
        <v>88</v>
      </c>
      <c r="BT2" s="29" t="s">
        <v>89</v>
      </c>
      <c r="BU2" s="30"/>
    </row>
    <row r="3" spans="1:73">
      <c r="E3" t="s">
        <v>95</v>
      </c>
      <c r="Q3" t="s">
        <v>96</v>
      </c>
      <c r="R3" t="s">
        <v>97</v>
      </c>
      <c r="T3" s="31" t="s">
        <v>98</v>
      </c>
      <c r="W3" t="s">
        <v>99</v>
      </c>
      <c r="X3" t="s">
        <v>100</v>
      </c>
      <c r="Z3" t="s">
        <v>101</v>
      </c>
      <c r="AA3" t="s">
        <v>102</v>
      </c>
      <c r="AC3" t="s">
        <v>103</v>
      </c>
      <c r="AD3" t="s">
        <v>84</v>
      </c>
      <c r="AE3" t="s">
        <v>104</v>
      </c>
      <c r="AF3" t="s">
        <v>105</v>
      </c>
      <c r="AG3" t="s">
        <v>106</v>
      </c>
      <c r="AI3" t="s">
        <v>107</v>
      </c>
      <c r="AJ3" t="s">
        <v>108</v>
      </c>
      <c r="AL3" t="s">
        <v>109</v>
      </c>
      <c r="AM3" t="s">
        <v>110</v>
      </c>
      <c r="AP3" s="31" t="s">
        <v>98</v>
      </c>
      <c r="AS3" s="26" t="s">
        <v>101</v>
      </c>
      <c r="AT3" s="26" t="s">
        <v>102</v>
      </c>
      <c r="AV3" t="s">
        <v>103</v>
      </c>
      <c r="AW3" t="s">
        <v>84</v>
      </c>
      <c r="AX3" t="s">
        <v>104</v>
      </c>
      <c r="BA3" s="28" t="s">
        <v>98</v>
      </c>
      <c r="BB3" s="28"/>
      <c r="BC3" s="28"/>
      <c r="BD3" s="28" t="s">
        <v>101</v>
      </c>
      <c r="BE3" s="28" t="s">
        <v>102</v>
      </c>
      <c r="BG3" t="s">
        <v>103</v>
      </c>
      <c r="BH3" t="s">
        <v>84</v>
      </c>
      <c r="BI3" t="s">
        <v>104</v>
      </c>
      <c r="BL3" s="31" t="s">
        <v>98</v>
      </c>
      <c r="BO3" s="26" t="s">
        <v>101</v>
      </c>
      <c r="BP3" s="26" t="s">
        <v>102</v>
      </c>
      <c r="BR3" t="s">
        <v>103</v>
      </c>
      <c r="BS3" t="s">
        <v>84</v>
      </c>
      <c r="BT3" t="s">
        <v>104</v>
      </c>
    </row>
    <row r="4" spans="1:73">
      <c r="E4" t="s">
        <v>111</v>
      </c>
      <c r="R4" t="s">
        <v>112</v>
      </c>
      <c r="T4" t="s">
        <v>113</v>
      </c>
      <c r="W4" t="s">
        <v>114</v>
      </c>
      <c r="X4" t="s">
        <v>115</v>
      </c>
      <c r="Z4" t="s">
        <v>87</v>
      </c>
      <c r="AA4" t="s">
        <v>86</v>
      </c>
      <c r="AC4" t="s">
        <v>116</v>
      </c>
      <c r="AD4" t="s">
        <v>100</v>
      </c>
      <c r="AE4" t="s">
        <v>117</v>
      </c>
      <c r="AG4" t="s">
        <v>118</v>
      </c>
      <c r="AJ4" t="s">
        <v>119</v>
      </c>
      <c r="AM4" t="s">
        <v>94</v>
      </c>
      <c r="AP4" t="s">
        <v>113</v>
      </c>
      <c r="AS4" t="s">
        <v>87</v>
      </c>
      <c r="AT4" t="s">
        <v>86</v>
      </c>
      <c r="AV4" t="s">
        <v>116</v>
      </c>
      <c r="AW4" t="s">
        <v>100</v>
      </c>
      <c r="AX4" t="s">
        <v>117</v>
      </c>
      <c r="BA4" t="s">
        <v>113</v>
      </c>
      <c r="BD4" t="s">
        <v>87</v>
      </c>
      <c r="BE4" t="s">
        <v>120</v>
      </c>
      <c r="BG4" t="s">
        <v>116</v>
      </c>
      <c r="BH4" t="s">
        <v>100</v>
      </c>
      <c r="BI4" t="s">
        <v>117</v>
      </c>
      <c r="BL4" t="s">
        <v>113</v>
      </c>
      <c r="BO4" t="s">
        <v>87</v>
      </c>
      <c r="BP4" t="s">
        <v>86</v>
      </c>
      <c r="BR4" t="s">
        <v>116</v>
      </c>
      <c r="BS4" t="s">
        <v>100</v>
      </c>
      <c r="BT4" t="s">
        <v>117</v>
      </c>
    </row>
    <row r="5" spans="1:73">
      <c r="E5" t="s">
        <v>121</v>
      </c>
      <c r="R5" t="s">
        <v>122</v>
      </c>
      <c r="T5" t="s">
        <v>81</v>
      </c>
      <c r="W5" t="s">
        <v>123</v>
      </c>
      <c r="Z5" t="s">
        <v>124</v>
      </c>
      <c r="AA5" t="s">
        <v>120</v>
      </c>
      <c r="AC5" t="s">
        <v>125</v>
      </c>
      <c r="AD5" t="s">
        <v>126</v>
      </c>
      <c r="AE5" t="s">
        <v>127</v>
      </c>
      <c r="AG5" t="s">
        <v>128</v>
      </c>
      <c r="AJ5" t="s">
        <v>129</v>
      </c>
      <c r="AM5" t="s">
        <v>130</v>
      </c>
      <c r="AP5" t="s">
        <v>81</v>
      </c>
      <c r="AS5" t="s">
        <v>124</v>
      </c>
      <c r="AT5" t="s">
        <v>120</v>
      </c>
      <c r="AV5" t="s">
        <v>125</v>
      </c>
      <c r="AW5" t="s">
        <v>126</v>
      </c>
      <c r="AX5" t="s">
        <v>127</v>
      </c>
      <c r="BA5" t="s">
        <v>81</v>
      </c>
      <c r="BD5" t="s">
        <v>124</v>
      </c>
      <c r="BE5" t="s">
        <v>131</v>
      </c>
      <c r="BG5" t="s">
        <v>125</v>
      </c>
      <c r="BH5" t="s">
        <v>126</v>
      </c>
      <c r="BI5" t="s">
        <v>127</v>
      </c>
      <c r="BL5" t="s">
        <v>81</v>
      </c>
      <c r="BO5" t="s">
        <v>124</v>
      </c>
      <c r="BP5" t="s">
        <v>120</v>
      </c>
      <c r="BR5" t="s">
        <v>125</v>
      </c>
      <c r="BS5" t="s">
        <v>126</v>
      </c>
      <c r="BT5" t="s">
        <v>127</v>
      </c>
    </row>
    <row r="6" spans="1:73">
      <c r="R6" t="s">
        <v>132</v>
      </c>
      <c r="T6" t="s">
        <v>133</v>
      </c>
      <c r="AA6" t="s">
        <v>131</v>
      </c>
      <c r="AC6" t="s">
        <v>134</v>
      </c>
      <c r="AE6" t="s">
        <v>87</v>
      </c>
      <c r="AJ6" t="s">
        <v>135</v>
      </c>
      <c r="AM6" t="s">
        <v>136</v>
      </c>
      <c r="AP6" t="s">
        <v>133</v>
      </c>
      <c r="AT6" t="s">
        <v>131</v>
      </c>
      <c r="AV6" t="s">
        <v>134</v>
      </c>
      <c r="AX6" t="s">
        <v>87</v>
      </c>
      <c r="BA6" t="s">
        <v>133</v>
      </c>
      <c r="BG6" t="s">
        <v>134</v>
      </c>
      <c r="BI6" t="s">
        <v>87</v>
      </c>
      <c r="BL6" t="s">
        <v>133</v>
      </c>
      <c r="BP6" t="s">
        <v>131</v>
      </c>
      <c r="BR6" t="s">
        <v>134</v>
      </c>
      <c r="BT6" t="s">
        <v>87</v>
      </c>
    </row>
    <row r="7" spans="1:73">
      <c r="R7" t="s">
        <v>137</v>
      </c>
      <c r="T7" t="s">
        <v>138</v>
      </c>
      <c r="AE7" t="s">
        <v>123</v>
      </c>
      <c r="AJ7" t="s">
        <v>139</v>
      </c>
      <c r="AM7" t="s">
        <v>140</v>
      </c>
      <c r="AP7" t="s">
        <v>138</v>
      </c>
      <c r="BA7" t="s">
        <v>138</v>
      </c>
      <c r="BL7" t="s">
        <v>138</v>
      </c>
    </row>
    <row r="8" spans="1:73">
      <c r="R8" t="s">
        <v>141</v>
      </c>
      <c r="T8" t="s">
        <v>113</v>
      </c>
      <c r="AJ8" t="s">
        <v>142</v>
      </c>
      <c r="AP8" t="s">
        <v>113</v>
      </c>
      <c r="BA8" t="s">
        <v>113</v>
      </c>
      <c r="BL8" t="s">
        <v>113</v>
      </c>
    </row>
    <row r="9" spans="1:73">
      <c r="R9" t="s">
        <v>87</v>
      </c>
      <c r="T9" t="s">
        <v>143</v>
      </c>
      <c r="AP9" t="s">
        <v>143</v>
      </c>
      <c r="BA9" t="s">
        <v>143</v>
      </c>
      <c r="BL9" t="s">
        <v>143</v>
      </c>
    </row>
    <row r="10" spans="1:73">
      <c r="T10" t="s">
        <v>144</v>
      </c>
      <c r="AP10" t="s">
        <v>144</v>
      </c>
      <c r="BA10" t="s">
        <v>144</v>
      </c>
      <c r="BL10" t="s">
        <v>144</v>
      </c>
    </row>
    <row r="11" spans="1:73">
      <c r="T11" t="s">
        <v>145</v>
      </c>
      <c r="AP11" t="s">
        <v>145</v>
      </c>
      <c r="BA11" t="s">
        <v>145</v>
      </c>
      <c r="BL11" t="s">
        <v>145</v>
      </c>
    </row>
    <row r="12" spans="1:73">
      <c r="T12" t="s">
        <v>146</v>
      </c>
      <c r="AP12" t="s">
        <v>146</v>
      </c>
      <c r="BA12" t="s">
        <v>146</v>
      </c>
      <c r="BL12" t="s">
        <v>146</v>
      </c>
    </row>
    <row r="13" spans="1:73">
      <c r="T13" t="s">
        <v>144</v>
      </c>
      <c r="AP13" t="s">
        <v>144</v>
      </c>
      <c r="BA13" t="s">
        <v>144</v>
      </c>
      <c r="BL13" t="s">
        <v>144</v>
      </c>
    </row>
    <row r="14" spans="1:73">
      <c r="T14" t="s">
        <v>147</v>
      </c>
      <c r="AP14" t="s">
        <v>147</v>
      </c>
      <c r="BA14" t="s">
        <v>147</v>
      </c>
      <c r="BL14" t="s">
        <v>147</v>
      </c>
    </row>
    <row r="15" spans="1:73">
      <c r="T15" t="s">
        <v>148</v>
      </c>
      <c r="AP15" t="s">
        <v>148</v>
      </c>
      <c r="BA15" t="s">
        <v>148</v>
      </c>
      <c r="BL15" t="s">
        <v>148</v>
      </c>
    </row>
    <row r="16" spans="1:73">
      <c r="T16" t="s">
        <v>149</v>
      </c>
      <c r="AP16" t="s">
        <v>149</v>
      </c>
      <c r="BA16" t="s">
        <v>149</v>
      </c>
      <c r="BL16" t="s">
        <v>149</v>
      </c>
    </row>
    <row r="17" spans="20:64">
      <c r="T17" t="s">
        <v>150</v>
      </c>
      <c r="AP17" t="s">
        <v>150</v>
      </c>
      <c r="BA17" t="s">
        <v>150</v>
      </c>
      <c r="BL17" t="s">
        <v>150</v>
      </c>
    </row>
  </sheetData>
  <protectedRanges>
    <protectedRange sqref="A2:I2" name="区域2"/>
    <protectedRange sqref="P2:AO2 AR2 AY2:AZ2 BB2:BC2 BF2 BJ2:BK2 BM2:BN2 BQ2" name="区域4"/>
    <protectedRange sqref="L2:N2" name="区域3"/>
  </protectedRanges>
  <conditionalFormatting sqref="AE1">
    <cfRule type="containsText" dxfId="0" priority="20" operator="between" text="潜伏感染者">
      <formula>NOT(ISERROR(SEARCH("潜伏感染者",AE1)))</formula>
    </cfRule>
  </conditionalFormatting>
  <dataValidations count="11">
    <dataValidation showInputMessage="1" showErrorMessage="1" errorTitle="日期输入错误" error="请输出合理日期！" promptTitle="提示" prompt="请输入mmmm/yy/dd日期格式。" sqref="I1 S1 V1 Y1 AB1"/>
    <dataValidation type="textLength" operator="greaterThan" showInputMessage="1" showErrorMessage="1" sqref="A2:D2">
      <formula1>0</formula1>
    </dataValidation>
    <dataValidation type="date" operator="between" showInputMessage="1" showErrorMessage="1" errorTitle="日期输入错误" error="请输出合理日期！" promptTitle="提示" prompt="请输入mmmm/yy/dd日期格式。" sqref="H2:I2">
      <formula1>44927</formula1>
      <formula2>46752</formula2>
    </dataValidation>
    <dataValidation type="textLength" operator="between" allowBlank="1" showInputMessage="1" showErrorMessage="1" sqref="L2">
      <formula1>1</formula1>
      <formula2>5</formula2>
    </dataValidation>
    <dataValidation type="textLength" operator="equal" allowBlank="1" showInputMessage="1" showErrorMessage="1" prompt="请输入18位身份证号，无需空格" sqref="M2">
      <formula1>18</formula1>
    </dataValidation>
    <dataValidation type="date" operator="between" allowBlank="1" showInputMessage="1" showErrorMessage="1" errorTitle="日期输入错误" error="请输出合理日期！" promptTitle="提示" prompt="请输入mmmm/yy/dd日期格式。" sqref="S2">
      <formula1>44927</formula1>
      <formula2>46388</formula2>
    </dataValidation>
    <dataValidation type="date" operator="between" showInputMessage="1" showErrorMessage="1" errorTitle="日期输入错误" error="请输出合理日期！" promptTitle="提示" prompt="请输入mmmm/yy/dd日期格式。" sqref="V2 Y2 AB2">
      <formula1>44927</formula1>
      <formula2>46388</formula2>
    </dataValidation>
    <dataValidation type="list" showInputMessage="1" showErrorMessage="1" sqref="X2">
      <formula1>INDIRECT(W2)</formula1>
    </dataValidation>
    <dataValidation type="list" allowBlank="1" showInputMessage="1" showErrorMessage="1" sqref="AJ2 AM2">
      <formula1>INDIRECT(AI2)</formula1>
    </dataValidation>
    <dataValidation type="date" operator="between" allowBlank="1" showInputMessage="1" showErrorMessage="1" prompt="请输入有效日期（格式：yyyy-mm-dd）" sqref="AO2 AR2 AU2 AZ2 BC2 BF2 BK2 BN2 BQ2">
      <formula1>44927</formula1>
      <formula2>47848</formula2>
    </dataValidation>
    <dataValidation type="whole" operator="between" showInputMessage="1" showErrorMessage="1" sqref="N1:N2">
      <formula1>0</formula1>
      <formula2>105</formula2>
    </dataValidation>
  </dataValidations>
  <pageMargins left="0.75" right="0.75" top="1" bottom="1" header="0.5" footer="0.5"/>
  <headerFooter/>
  <ignoredErrors>
    <ignoredError sqref="M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8.88888888888889" defaultRowHeight="14.4" outlineLevelCol="2"/>
  <cols>
    <col min="1" max="1" width="25.8888888888889" customWidth="1"/>
    <col min="2" max="2" width="27.4444444444444" customWidth="1"/>
    <col min="3" max="3" width="21.1111111111111" customWidth="1"/>
  </cols>
  <sheetData>
    <row r="1" ht="28.8" spans="1:3">
      <c r="A1" s="1" t="s">
        <v>151</v>
      </c>
      <c r="B1" s="2" t="s">
        <v>152</v>
      </c>
      <c r="C1" s="2" t="s">
        <v>153</v>
      </c>
    </row>
  </sheetData>
  <dataValidations count="1">
    <dataValidation showInputMessage="1" showErrorMessage="1" errorTitle="日期输入错误" error="请输出合理日期！" promptTitle="提示" prompt="请输入mmmm/yy/dd日期格式。" sqref="A1"/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2" rangeCreator="" othersAccessPermission="edit"/>
    <arrUserId title="区域4" rangeCreator="" othersAccessPermission="edit"/>
    <arrUserId title="区域3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3月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Haitao Liu</dc:creator>
  <cp:lastModifiedBy>Haitao Liu</cp:lastModifiedBy>
  <dcterms:created xsi:type="dcterms:W3CDTF">2026-04-25T14:48:00Z</dcterms:created>
  <dcterms:modified xsi:type="dcterms:W3CDTF">2026-04-25T19:51:05Z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98E4E19EFE184DDDAC2F7BD640FAEC83_11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1</vt:i4>
  </property>
</Properties>
</file>